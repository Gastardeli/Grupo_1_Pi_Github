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ta\OneDrive\Área de Trabalho\CCOK\grupo pi\InvTracker\private\backlog\"/>
    </mc:Choice>
  </mc:AlternateContent>
  <xr:revisionPtr revIDLastSave="0" documentId="13_ncr:1_{283927A3-EF01-4C22-B4AD-00DBE2EB7CA5}" xr6:coauthVersionLast="47" xr6:coauthVersionMax="47" xr10:uidLastSave="{00000000-0000-0000-0000-000000000000}"/>
  <bookViews>
    <workbookView xWindow="-108" yWindow="-108" windowWidth="23256" windowHeight="12456" xr2:uid="{E5380FA4-F023-4187-95B3-E59589C08FBC}"/>
  </bookViews>
  <sheets>
    <sheet name="Backlog &amp; BurnDown" sheetId="1" r:id="rId1"/>
  </sheets>
  <definedNames>
    <definedName name="_xlnm._FilterDatabase" localSheetId="0" hidden="1">'Backlog &amp; BurnDown'!$A$1:$AG$44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I49" i="1"/>
  <c r="C51" i="1"/>
  <c r="E50" i="1"/>
  <c r="E49" i="1"/>
  <c r="E48" i="1"/>
</calcChain>
</file>

<file path=xl/sharedStrings.xml><?xml version="1.0" encoding="utf-8"?>
<sst xmlns="http://schemas.openxmlformats.org/spreadsheetml/2006/main" count="231" uniqueCount="112">
  <si>
    <t>Requisito</t>
  </si>
  <si>
    <t>Descrição</t>
  </si>
  <si>
    <t>Classificação</t>
  </si>
  <si>
    <t>Tamanho</t>
  </si>
  <si>
    <t>Tam(#)</t>
  </si>
  <si>
    <t>Sprint</t>
  </si>
  <si>
    <t>Coletar dados do Arduino e inserir no MySQL (VMLinux)</t>
  </si>
  <si>
    <t>Programar o Arduino para capturar dados dos sensores e armazená-los em um banco MySQL rodando em uma máquina virtual Linux.</t>
  </si>
  <si>
    <t>Essencial</t>
  </si>
  <si>
    <t>M</t>
  </si>
  <si>
    <t>Analisar Contextualização</t>
  </si>
  <si>
    <t>Estudar e definir o contexto do sistema, identificando o problema que ele resolve e o ambiente em que será aplicado.</t>
  </si>
  <si>
    <t>P</t>
  </si>
  <si>
    <t>Atualizar Calculadora</t>
  </si>
  <si>
    <t>Revisar e melhorar a calculadora do sistema, adicionando novas funções ou corrigindo cálculos já existentes.</t>
  </si>
  <si>
    <t>Levantamento de Riscos</t>
  </si>
  <si>
    <t>Identificar possíveis riscos do projeto (técnicos, operacionais) e definir formas de mitigá-los.</t>
  </si>
  <si>
    <t>Criar cadastro e login local</t>
  </si>
  <si>
    <t xml:space="preserve">Desenvolver sistema de autenticação simples (usuário/senha) armazenado localmente para validar </t>
  </si>
  <si>
    <t>Desenvolver Diagrama de Solução</t>
  </si>
  <si>
    <t>Criar um diagrama arquitetural que mostre como os componentes do sistema se conectam e interagem.</t>
  </si>
  <si>
    <t>G</t>
  </si>
  <si>
    <t>Projetar modelagem lógica V1 - Banco de Dados</t>
  </si>
  <si>
    <t>Definir as tabelas, relacionamentos e atributos do banco de dados.</t>
  </si>
  <si>
    <t>Aplicar API Local/Sensor ao projeto</t>
  </si>
  <si>
    <t>Integrar a API que faz a comunicação entre o sensor (Arduino) e o sistema.</t>
  </si>
  <si>
    <t>GG</t>
  </si>
  <si>
    <t>Aprender a utilizar a API Local/Sensor</t>
  </si>
  <si>
    <t>Estudar o funcionamento da API do sensor e entender como consumir os dados corretamente.</t>
  </si>
  <si>
    <t>Instalar MySQL na Virtual Machine</t>
  </si>
  <si>
    <t>Configurar o banco de dados MySQL dentro da máquina virtual para persistência dos dados.</t>
  </si>
  <si>
    <t>PP</t>
  </si>
  <si>
    <t>Documentação do Projeto</t>
  </si>
  <si>
    <t>Criar documentação clara sobre objetivos, requisitos, arquitetura e uso do sistema.</t>
  </si>
  <si>
    <t>Criar website institucional estático</t>
  </si>
  <si>
    <t>Desenvolver um site simples e estático para apresentar informações institucionais do projeto.</t>
  </si>
  <si>
    <t>Criar dashboard estática</t>
  </si>
  <si>
    <t>Montar um painel visual para exibir métricas e informações principais.</t>
  </si>
  <si>
    <t>Desenvolver Notificações e Alertas</t>
  </si>
  <si>
    <t>Implementar sistema que notifique ou alerte o usuário sobre eventos importantes do sistema.</t>
  </si>
  <si>
    <t>Importante</t>
  </si>
  <si>
    <t xml:space="preserve">G </t>
  </si>
  <si>
    <t>Cadastro de Estoque</t>
  </si>
  <si>
    <t>Criar funcionalidade para registrar produtos e quantidades no estoque.</t>
  </si>
  <si>
    <t>Criar Tabelas</t>
  </si>
  <si>
    <t>Construir as tabelas no banco de dados de acordo com a modelagem definida.</t>
  </si>
  <si>
    <t>Implementar Site Institucional</t>
  </si>
  <si>
    <t>Colocar em prática o site institucional, aplicando layout  e conteúdo.</t>
  </si>
  <si>
    <t>Desenvolver Cadastro de clientes</t>
  </si>
  <si>
    <t>Criar formulário e banco para registrar clientes no sistema.</t>
  </si>
  <si>
    <t>Desenvolver Tela de Login</t>
  </si>
  <si>
    <t>Criar interface gráfica para login de usuários.</t>
  </si>
  <si>
    <t>Desenvolver Dashboard</t>
  </si>
  <si>
    <t>Implementar painel dinâmico para exibir dados do sistema em tempo real.</t>
  </si>
  <si>
    <t>Fazer protótipo do site Institucional</t>
  </si>
  <si>
    <t>Criar protótipo visual/navegável do site institucional antes da versão final.</t>
  </si>
  <si>
    <t>Chamadas de API endereço</t>
  </si>
  <si>
    <t>Integrar API para buscar e validar dados do sensor</t>
  </si>
  <si>
    <t>Chamada de API Banco</t>
  </si>
  <si>
    <t>Integrar API relacionada a banco de dados/armazenar os dados do sensor</t>
  </si>
  <si>
    <t>Registrar dados do sensor no BD</t>
  </si>
  <si>
    <t>Gravar automaticamente no banco de dados todas as informações coletadas pelos sensores do Arduino.</t>
  </si>
  <si>
    <t>Atualização de dados</t>
  </si>
  <si>
    <t>Permitir a modificação e atualização de registros existentes no banco de dados de forma eficiente.</t>
  </si>
  <si>
    <t>Desejável</t>
  </si>
  <si>
    <t>Recuperação de senha</t>
  </si>
  <si>
    <t>Implementar mecanismo que possibilite ao usuário redefinir a senha em caso de esquecimento, via e-mail ou outro método seguro.</t>
  </si>
  <si>
    <t>Calculadora Financeira</t>
  </si>
  <si>
    <t>Disponibilizar ferramenta de cálculo financeiro integrada ao sistema para apoiar decisões e análises</t>
  </si>
  <si>
    <t>Tratamento de dados sensiveis</t>
  </si>
  <si>
    <t>Aplicar técnicas de proteção e anonimização de dados pessoais e confidenciais, garantindo segurança e conformidade legal.</t>
  </si>
  <si>
    <t>Senha forte</t>
  </si>
  <si>
    <t>Criar validação para garantir que as senhas sigam padrões de segurança, incluindo comprimento mínimo e uso de caracteres especiais.</t>
  </si>
  <si>
    <t>Confirmação de senha</t>
  </si>
  <si>
    <t>Adicionar campo de confirmação de senha durante o cadastro para evitar erros de digitação.</t>
  </si>
  <si>
    <t>Criptografia de senha</t>
  </si>
  <si>
    <t>Armazenar senhas de usuários no banco de dados utilizando algoritmos de criptografia/Hash</t>
  </si>
  <si>
    <t>Programar Placa Arduino unoR3</t>
  </si>
  <si>
    <t>Desenvolver código para coletar dados de sensores conectados à placa Arduino UNO R3 e integrá-los ao sistema.</t>
  </si>
  <si>
    <t>Consulta de nivel de estoque</t>
  </si>
  <si>
    <t>Implementar funcionalidade que permita ao usuário verificar em tempo real o nivel de seu estoque.</t>
  </si>
  <si>
    <t>Acessibilidade no site</t>
  </si>
  <si>
    <t>Garantir que o site seja acessível para pessoas com deficiência, seguindo boas práticas de usabilidade e normas de acessibilidade digital.</t>
  </si>
  <si>
    <t>Tempo de atualização</t>
  </si>
  <si>
    <t>Configurar intervalo de atualização automática para que os dados exibidos na dashboard ou no sistema estejam sempre atualizados.</t>
  </si>
  <si>
    <t>Aprimorar script SQL local</t>
  </si>
  <si>
    <t>Melhorar scripts SQL utilizados localmente, otimizando consultas, inserções e manutenções no banco de dados.</t>
  </si>
  <si>
    <t>Analisar requisitos</t>
  </si>
  <si>
    <t>Levantar, detalhar e documentar requisitos funcionais para orientar o desenvolvimento do sistema.</t>
  </si>
  <si>
    <t>Sprints</t>
  </si>
  <si>
    <t>Planejado</t>
  </si>
  <si>
    <t>Entregue</t>
  </si>
  <si>
    <t>Pendente</t>
  </si>
  <si>
    <t>Total</t>
  </si>
  <si>
    <t>SP1</t>
  </si>
  <si>
    <t>SP2</t>
  </si>
  <si>
    <t>SP3</t>
  </si>
  <si>
    <t>Sim</t>
  </si>
  <si>
    <t>Não</t>
  </si>
  <si>
    <t>Restante</t>
  </si>
  <si>
    <t>Manual de Instalação</t>
  </si>
  <si>
    <t>Documentação Final</t>
  </si>
  <si>
    <t>Documentação de Gestão de mudanças- GMUD</t>
  </si>
  <si>
    <t>Views BD</t>
  </si>
  <si>
    <t>Criar um do documento de instrução para o cliente, detalhando o passo a passo que deve ser seguido para instalação do nosso sistema</t>
  </si>
  <si>
    <t>Revisar documentação e adcionar diagramas e fluxogramas no documento</t>
  </si>
  <si>
    <t>Realizar documentação para gerenciamento e controle de mudanças.</t>
  </si>
  <si>
    <t>Criar e utilizar uma View virtualizando o select do nosso banco de dados.</t>
  </si>
  <si>
    <t>Fluxogramas</t>
  </si>
  <si>
    <t>Plataforma de service desk no Jira</t>
  </si>
  <si>
    <t>Desenvolver plataforma de atendimento ao cliente no Jira.</t>
  </si>
  <si>
    <t>Realizar 3 fluxogramas sobre incidentes, problema e requisição.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</si>
</sst>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Aptos Narrow"/>
      <family val="2"/>
    </font>
    <font>
      <sz val="16"/>
      <color rgb="FFFFFFFF"/>
      <name val="Aptos Narrow"/>
      <family val="2"/>
    </font>
    <font>
      <sz val="11"/>
      <color rgb="FFFF0000"/>
      <name val="Aptos Narrow"/>
      <family val="2"/>
    </font>
    <font>
      <sz val="11"/>
      <color rgb="FF0070C0"/>
      <name val="Aptos Narrow"/>
      <family val="2"/>
    </font>
    <font>
      <sz val="11"/>
      <color rgb="FF7030A0"/>
      <name val="Aptos Narrow"/>
      <family val="2"/>
    </font>
    <font>
      <sz val="12"/>
      <color rgb="FF000000"/>
      <name val="Arial"/>
      <family val="2"/>
    </font>
    <font>
      <sz val="12"/>
      <color rgb="FF00B0F0"/>
      <name val="Arial"/>
      <family val="2"/>
    </font>
    <font>
      <sz val="12"/>
      <color rgb="FFFF0000"/>
      <name val="Arial"/>
      <family val="2"/>
    </font>
    <font>
      <b/>
      <sz val="12"/>
      <color rgb="FFFFFFFF"/>
      <name val="Arial"/>
      <family val="2"/>
    </font>
    <font>
      <sz val="12"/>
      <color theme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15C98"/>
        <bgColor rgb="FF215C98"/>
      </patternFill>
    </fill>
    <fill>
      <patternFill patternType="solid">
        <fgColor rgb="FF4D93D9"/>
        <bgColor rgb="FF4D93D9"/>
      </patternFill>
    </fill>
    <fill>
      <patternFill patternType="solid">
        <fgColor rgb="FFFF0000"/>
        <bgColor rgb="FFFF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'Backlog &amp; BurnDown'!$C$47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'Backlog &amp; BurnDown'!$B$48:$B$50</c:f>
              <c:strCache>
                <c:ptCount val="3"/>
                <c:pt idx="0">
                  <c:v>SP1</c:v>
                </c:pt>
                <c:pt idx="1">
                  <c:v>SP2</c:v>
                </c:pt>
                <c:pt idx="2">
                  <c:v>SP3</c:v>
                </c:pt>
              </c:strCache>
            </c:strRef>
          </c:cat>
          <c:val>
            <c:numRef>
              <c:f>'Backlog &amp; BurnDown'!$C$48:$C$50</c:f>
              <c:numCache>
                <c:formatCode>General</c:formatCode>
                <c:ptCount val="3"/>
                <c:pt idx="0">
                  <c:v>475</c:v>
                </c:pt>
                <c:pt idx="1">
                  <c:v>149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2-4DD3-82EB-704B06759B2A}"/>
            </c:ext>
          </c:extLst>
        </c:ser>
        <c:ser>
          <c:idx val="4"/>
          <c:order val="1"/>
          <c:tx>
            <c:strRef>
              <c:f>'Backlog &amp; BurnDown'!$I$47</c:f>
              <c:strCache>
                <c:ptCount val="1"/>
                <c:pt idx="0">
                  <c:v>Restante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'Backlog &amp; BurnDown'!$B$48:$B$50</c:f>
              <c:strCache>
                <c:ptCount val="3"/>
                <c:pt idx="0">
                  <c:v>SP1</c:v>
                </c:pt>
                <c:pt idx="1">
                  <c:v>SP2</c:v>
                </c:pt>
                <c:pt idx="2">
                  <c:v>SP3</c:v>
                </c:pt>
              </c:strCache>
            </c:strRef>
          </c:cat>
          <c:val>
            <c:numRef>
              <c:f>'Backlog &amp; BurnDown'!$I$48:$I$50</c:f>
              <c:numCache>
                <c:formatCode>General</c:formatCode>
                <c:ptCount val="3"/>
                <c:pt idx="0">
                  <c:v>307</c:v>
                </c:pt>
                <c:pt idx="1">
                  <c:v>87</c:v>
                </c:pt>
                <c:pt idx="2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2-4DD3-82EB-704B06759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2766383"/>
        <c:axId val="1852765903"/>
      </c:lineChart>
      <c:catAx>
        <c:axId val="185276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2765903"/>
        <c:crosses val="autoZero"/>
        <c:auto val="1"/>
        <c:lblAlgn val="ctr"/>
        <c:lblOffset val="100"/>
        <c:noMultiLvlLbl val="0"/>
      </c:catAx>
      <c:valAx>
        <c:axId val="1852765903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276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11108</xdr:colOff>
      <xdr:row>46</xdr:row>
      <xdr:rowOff>14860</xdr:rowOff>
    </xdr:from>
    <xdr:to>
      <xdr:col>18</xdr:col>
      <xdr:colOff>347284</xdr:colOff>
      <xdr:row>59</xdr:row>
      <xdr:rowOff>136469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371DC8-E9E9-3742-36EF-D2FA38CEB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2853-6496-4AB0-A4DF-4B5CCD4A1E2C}">
  <dimension ref="A1:AG54"/>
  <sheetViews>
    <sheetView tabSelected="1" topLeftCell="A19" zoomScale="64" zoomScaleNormal="64" workbookViewId="0">
      <selection activeCell="I49" sqref="I49:J49"/>
    </sheetView>
  </sheetViews>
  <sheetFormatPr defaultRowHeight="14.4" x14ac:dyDescent="0.3"/>
  <cols>
    <col min="1" max="1" width="9.109375" customWidth="1"/>
    <col min="2" max="2" width="13.33203125" customWidth="1"/>
    <col min="3" max="3" width="17.5546875" customWidth="1"/>
    <col min="6" max="6" width="8.5546875" customWidth="1"/>
    <col min="7" max="7" width="16.88671875" customWidth="1"/>
    <col min="32" max="32" width="14.6640625" customWidth="1"/>
  </cols>
  <sheetData>
    <row r="1" spans="1:33" ht="21" x14ac:dyDescent="0.4">
      <c r="A1" s="11" t="s">
        <v>0</v>
      </c>
      <c r="B1" s="11"/>
      <c r="C1" s="11"/>
      <c r="D1" s="11"/>
      <c r="E1" s="11"/>
      <c r="F1" s="11"/>
      <c r="G1" s="11" t="s">
        <v>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6" t="s">
        <v>2</v>
      </c>
      <c r="X1" s="6"/>
      <c r="Y1" s="6"/>
      <c r="Z1" s="6" t="s">
        <v>3</v>
      </c>
      <c r="AA1" s="6"/>
      <c r="AB1" s="6" t="s">
        <v>4</v>
      </c>
      <c r="AC1" s="6"/>
      <c r="AD1" s="6" t="s">
        <v>5</v>
      </c>
      <c r="AE1" s="6"/>
      <c r="AF1" s="6" t="s">
        <v>91</v>
      </c>
      <c r="AG1" s="6"/>
    </row>
    <row r="2" spans="1:33" x14ac:dyDescent="0.3">
      <c r="A2" s="7" t="s">
        <v>6</v>
      </c>
      <c r="B2" s="8"/>
      <c r="C2" s="8"/>
      <c r="D2" s="8"/>
      <c r="E2" s="8"/>
      <c r="F2" s="9"/>
      <c r="G2" s="7" t="s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10" t="s">
        <v>8</v>
      </c>
      <c r="X2" s="10"/>
      <c r="Y2" s="10"/>
      <c r="Z2" s="5" t="s">
        <v>9</v>
      </c>
      <c r="AA2" s="5"/>
      <c r="AB2" s="5">
        <v>8</v>
      </c>
      <c r="AC2" s="5"/>
      <c r="AD2" s="5">
        <v>2</v>
      </c>
      <c r="AE2" s="5"/>
      <c r="AF2" s="5" t="s">
        <v>97</v>
      </c>
      <c r="AG2" s="5"/>
    </row>
    <row r="3" spans="1:33" x14ac:dyDescent="0.3">
      <c r="A3" s="7" t="s">
        <v>10</v>
      </c>
      <c r="B3" s="8"/>
      <c r="C3" s="8"/>
      <c r="D3" s="8"/>
      <c r="E3" s="8"/>
      <c r="F3" s="9"/>
      <c r="G3" s="7" t="s">
        <v>11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10" t="s">
        <v>8</v>
      </c>
      <c r="X3" s="10"/>
      <c r="Y3" s="10"/>
      <c r="Z3" s="5" t="s">
        <v>12</v>
      </c>
      <c r="AA3" s="5"/>
      <c r="AB3" s="5">
        <v>5</v>
      </c>
      <c r="AC3" s="5"/>
      <c r="AD3" s="5">
        <v>2</v>
      </c>
      <c r="AE3" s="5"/>
      <c r="AF3" s="5" t="s">
        <v>97</v>
      </c>
      <c r="AG3" s="5"/>
    </row>
    <row r="4" spans="1:33" x14ac:dyDescent="0.3">
      <c r="A4" s="7" t="s">
        <v>13</v>
      </c>
      <c r="B4" s="8"/>
      <c r="C4" s="8"/>
      <c r="D4" s="8"/>
      <c r="E4" s="8"/>
      <c r="F4" s="9"/>
      <c r="G4" s="7" t="s">
        <v>14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  <c r="W4" s="10" t="s">
        <v>8</v>
      </c>
      <c r="X4" s="10"/>
      <c r="Y4" s="10"/>
      <c r="Z4" s="5" t="s">
        <v>9</v>
      </c>
      <c r="AA4" s="5"/>
      <c r="AB4" s="5">
        <v>8</v>
      </c>
      <c r="AC4" s="5"/>
      <c r="AD4" s="5">
        <v>2</v>
      </c>
      <c r="AE4" s="5"/>
      <c r="AF4" s="5" t="s">
        <v>97</v>
      </c>
      <c r="AG4" s="5"/>
    </row>
    <row r="5" spans="1:33" x14ac:dyDescent="0.3">
      <c r="A5" s="7" t="s">
        <v>15</v>
      </c>
      <c r="B5" s="8"/>
      <c r="C5" s="8"/>
      <c r="D5" s="8"/>
      <c r="E5" s="8"/>
      <c r="F5" s="9"/>
      <c r="G5" s="7" t="s">
        <v>16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  <c r="W5" s="10" t="s">
        <v>8</v>
      </c>
      <c r="X5" s="10"/>
      <c r="Y5" s="10"/>
      <c r="Z5" s="5" t="s">
        <v>12</v>
      </c>
      <c r="AA5" s="5"/>
      <c r="AB5" s="5">
        <v>5</v>
      </c>
      <c r="AC5" s="5"/>
      <c r="AD5" s="5">
        <v>2</v>
      </c>
      <c r="AE5" s="5"/>
      <c r="AF5" s="5" t="s">
        <v>97</v>
      </c>
      <c r="AG5" s="5"/>
    </row>
    <row r="6" spans="1:33" x14ac:dyDescent="0.3">
      <c r="A6" s="7" t="s">
        <v>17</v>
      </c>
      <c r="B6" s="8"/>
      <c r="C6" s="8"/>
      <c r="D6" s="8"/>
      <c r="E6" s="8"/>
      <c r="F6" s="9"/>
      <c r="G6" s="7" t="s">
        <v>18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  <c r="W6" s="10" t="s">
        <v>8</v>
      </c>
      <c r="X6" s="10"/>
      <c r="Y6" s="10"/>
      <c r="Z6" s="5" t="s">
        <v>9</v>
      </c>
      <c r="AA6" s="5"/>
      <c r="AB6" s="5">
        <v>8</v>
      </c>
      <c r="AC6" s="5"/>
      <c r="AD6" s="5">
        <v>2</v>
      </c>
      <c r="AE6" s="5"/>
      <c r="AF6" s="5" t="s">
        <v>97</v>
      </c>
      <c r="AG6" s="5"/>
    </row>
    <row r="7" spans="1:33" x14ac:dyDescent="0.3">
      <c r="A7" s="7" t="s">
        <v>19</v>
      </c>
      <c r="B7" s="8"/>
      <c r="C7" s="8"/>
      <c r="D7" s="8"/>
      <c r="E7" s="8"/>
      <c r="F7" s="9"/>
      <c r="G7" s="7" t="s">
        <v>20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9"/>
      <c r="W7" s="10" t="s">
        <v>8</v>
      </c>
      <c r="X7" s="10"/>
      <c r="Y7" s="10"/>
      <c r="Z7" s="5" t="s">
        <v>21</v>
      </c>
      <c r="AA7" s="5"/>
      <c r="AB7" s="5">
        <v>13</v>
      </c>
      <c r="AC7" s="5"/>
      <c r="AD7" s="5">
        <v>2</v>
      </c>
      <c r="AE7" s="5"/>
      <c r="AF7" s="5" t="s">
        <v>97</v>
      </c>
      <c r="AG7" s="5"/>
    </row>
    <row r="8" spans="1:33" x14ac:dyDescent="0.3">
      <c r="A8" s="7" t="s">
        <v>22</v>
      </c>
      <c r="B8" s="8"/>
      <c r="C8" s="8"/>
      <c r="D8" s="8"/>
      <c r="E8" s="8"/>
      <c r="F8" s="9"/>
      <c r="G8" s="7" t="s">
        <v>23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  <c r="W8" s="10" t="s">
        <v>8</v>
      </c>
      <c r="X8" s="10"/>
      <c r="Y8" s="10"/>
      <c r="Z8" s="5" t="s">
        <v>9</v>
      </c>
      <c r="AA8" s="5"/>
      <c r="AB8" s="5">
        <v>8</v>
      </c>
      <c r="AC8" s="5"/>
      <c r="AD8" s="5">
        <v>2</v>
      </c>
      <c r="AE8" s="5"/>
      <c r="AF8" s="5" t="s">
        <v>97</v>
      </c>
      <c r="AG8" s="5"/>
    </row>
    <row r="9" spans="1:33" x14ac:dyDescent="0.3">
      <c r="A9" s="7" t="s">
        <v>24</v>
      </c>
      <c r="B9" s="8"/>
      <c r="C9" s="8"/>
      <c r="D9" s="8"/>
      <c r="E9" s="8"/>
      <c r="F9" s="9"/>
      <c r="G9" s="7" t="s">
        <v>25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9"/>
      <c r="W9" s="10" t="s">
        <v>8</v>
      </c>
      <c r="X9" s="10"/>
      <c r="Y9" s="10"/>
      <c r="Z9" s="5" t="s">
        <v>26</v>
      </c>
      <c r="AA9" s="5"/>
      <c r="AB9" s="5">
        <v>21</v>
      </c>
      <c r="AC9" s="5"/>
      <c r="AD9" s="5">
        <v>2</v>
      </c>
      <c r="AE9" s="5"/>
      <c r="AF9" s="5" t="s">
        <v>97</v>
      </c>
      <c r="AG9" s="5"/>
    </row>
    <row r="10" spans="1:33" x14ac:dyDescent="0.3">
      <c r="A10" s="7" t="s">
        <v>27</v>
      </c>
      <c r="B10" s="8"/>
      <c r="C10" s="8"/>
      <c r="D10" s="8"/>
      <c r="E10" s="8"/>
      <c r="F10" s="9"/>
      <c r="G10" s="7" t="s">
        <v>28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9"/>
      <c r="W10" s="10" t="s">
        <v>8</v>
      </c>
      <c r="X10" s="10"/>
      <c r="Y10" s="10"/>
      <c r="Z10" s="5" t="s">
        <v>26</v>
      </c>
      <c r="AA10" s="5"/>
      <c r="AB10" s="5">
        <v>21</v>
      </c>
      <c r="AC10" s="5"/>
      <c r="AD10" s="5">
        <v>2</v>
      </c>
      <c r="AE10" s="5"/>
      <c r="AF10" s="5" t="s">
        <v>97</v>
      </c>
      <c r="AG10" s="5"/>
    </row>
    <row r="11" spans="1:33" x14ac:dyDescent="0.3">
      <c r="A11" s="7" t="s">
        <v>29</v>
      </c>
      <c r="B11" s="8"/>
      <c r="C11" s="8"/>
      <c r="D11" s="8"/>
      <c r="E11" s="8"/>
      <c r="F11" s="9"/>
      <c r="G11" s="7" t="s">
        <v>30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  <c r="W11" s="10" t="s">
        <v>8</v>
      </c>
      <c r="X11" s="10"/>
      <c r="Y11" s="10"/>
      <c r="Z11" s="5" t="s">
        <v>31</v>
      </c>
      <c r="AA11" s="5"/>
      <c r="AB11" s="5">
        <v>3</v>
      </c>
      <c r="AC11" s="5"/>
      <c r="AD11" s="5">
        <v>2</v>
      </c>
      <c r="AE11" s="5"/>
      <c r="AF11" s="5" t="s">
        <v>97</v>
      </c>
      <c r="AG11" s="5"/>
    </row>
    <row r="12" spans="1:33" x14ac:dyDescent="0.3">
      <c r="A12" s="7" t="s">
        <v>32</v>
      </c>
      <c r="B12" s="8"/>
      <c r="C12" s="8"/>
      <c r="D12" s="8"/>
      <c r="E12" s="8"/>
      <c r="F12" s="9"/>
      <c r="G12" s="7" t="s">
        <v>33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10" t="s">
        <v>8</v>
      </c>
      <c r="X12" s="10"/>
      <c r="Y12" s="10"/>
      <c r="Z12" s="5" t="s">
        <v>21</v>
      </c>
      <c r="AA12" s="5"/>
      <c r="AB12" s="5">
        <v>13</v>
      </c>
      <c r="AC12" s="5"/>
      <c r="AD12" s="5">
        <v>1</v>
      </c>
      <c r="AE12" s="5"/>
      <c r="AF12" s="5" t="s">
        <v>97</v>
      </c>
      <c r="AG12" s="5"/>
    </row>
    <row r="13" spans="1:33" x14ac:dyDescent="0.3">
      <c r="A13" s="7" t="s">
        <v>34</v>
      </c>
      <c r="B13" s="8"/>
      <c r="C13" s="8"/>
      <c r="D13" s="8"/>
      <c r="E13" s="8"/>
      <c r="F13" s="9"/>
      <c r="G13" s="7" t="s">
        <v>35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  <c r="W13" s="10" t="s">
        <v>8</v>
      </c>
      <c r="X13" s="10"/>
      <c r="Y13" s="10"/>
      <c r="Z13" s="5" t="s">
        <v>21</v>
      </c>
      <c r="AA13" s="5"/>
      <c r="AB13" s="5">
        <v>13</v>
      </c>
      <c r="AC13" s="5"/>
      <c r="AD13" s="5">
        <v>2</v>
      </c>
      <c r="AE13" s="5"/>
      <c r="AF13" s="5" t="s">
        <v>97</v>
      </c>
      <c r="AG13" s="5"/>
    </row>
    <row r="14" spans="1:33" x14ac:dyDescent="0.3">
      <c r="A14" s="7" t="s">
        <v>36</v>
      </c>
      <c r="B14" s="8"/>
      <c r="C14" s="8"/>
      <c r="D14" s="8"/>
      <c r="E14" s="8"/>
      <c r="F14" s="9"/>
      <c r="G14" s="7" t="s">
        <v>37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9"/>
      <c r="W14" s="10" t="s">
        <v>8</v>
      </c>
      <c r="X14" s="10"/>
      <c r="Y14" s="10"/>
      <c r="Z14" s="5" t="s">
        <v>26</v>
      </c>
      <c r="AA14" s="5"/>
      <c r="AB14" s="5">
        <v>21</v>
      </c>
      <c r="AC14" s="5"/>
      <c r="AD14" s="5">
        <v>2</v>
      </c>
      <c r="AE14" s="5"/>
      <c r="AF14" s="5" t="s">
        <v>97</v>
      </c>
      <c r="AG14" s="5"/>
    </row>
    <row r="15" spans="1:33" x14ac:dyDescent="0.3">
      <c r="A15" s="7" t="s">
        <v>38</v>
      </c>
      <c r="B15" s="8"/>
      <c r="C15" s="8"/>
      <c r="D15" s="8"/>
      <c r="E15" s="8"/>
      <c r="F15" s="9"/>
      <c r="G15" s="7" t="s">
        <v>39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/>
      <c r="W15" s="19" t="s">
        <v>40</v>
      </c>
      <c r="X15" s="19"/>
      <c r="Y15" s="19"/>
      <c r="Z15" s="5" t="s">
        <v>41</v>
      </c>
      <c r="AA15" s="5"/>
      <c r="AB15" s="5">
        <v>13</v>
      </c>
      <c r="AC15" s="5"/>
      <c r="AD15" s="5">
        <v>3</v>
      </c>
      <c r="AE15" s="5"/>
      <c r="AF15" s="5" t="s">
        <v>98</v>
      </c>
      <c r="AG15" s="5"/>
    </row>
    <row r="16" spans="1:33" x14ac:dyDescent="0.3">
      <c r="A16" s="7" t="s">
        <v>42</v>
      </c>
      <c r="B16" s="8"/>
      <c r="C16" s="8"/>
      <c r="D16" s="8"/>
      <c r="E16" s="8"/>
      <c r="F16" s="9"/>
      <c r="G16" s="7" t="s">
        <v>43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/>
      <c r="W16" s="10" t="s">
        <v>8</v>
      </c>
      <c r="X16" s="10"/>
      <c r="Y16" s="10"/>
      <c r="Z16" s="5" t="s">
        <v>12</v>
      </c>
      <c r="AA16" s="5"/>
      <c r="AB16" s="5">
        <v>5</v>
      </c>
      <c r="AC16" s="5"/>
      <c r="AD16" s="5">
        <v>2</v>
      </c>
      <c r="AE16" s="5"/>
      <c r="AF16" s="5" t="s">
        <v>97</v>
      </c>
      <c r="AG16" s="5"/>
    </row>
    <row r="17" spans="1:33" x14ac:dyDescent="0.3">
      <c r="A17" s="7" t="s">
        <v>44</v>
      </c>
      <c r="B17" s="8"/>
      <c r="C17" s="8"/>
      <c r="D17" s="8"/>
      <c r="E17" s="8"/>
      <c r="F17" s="9"/>
      <c r="G17" s="7" t="s">
        <v>45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/>
      <c r="W17" s="10" t="s">
        <v>8</v>
      </c>
      <c r="X17" s="10"/>
      <c r="Y17" s="10"/>
      <c r="Z17" s="5" t="s">
        <v>9</v>
      </c>
      <c r="AA17" s="5"/>
      <c r="AB17" s="5">
        <v>8</v>
      </c>
      <c r="AC17" s="5"/>
      <c r="AD17" s="5">
        <v>1</v>
      </c>
      <c r="AE17" s="5"/>
      <c r="AF17" s="5" t="s">
        <v>97</v>
      </c>
      <c r="AG17" s="5"/>
    </row>
    <row r="18" spans="1:33" x14ac:dyDescent="0.3">
      <c r="A18" s="7" t="s">
        <v>46</v>
      </c>
      <c r="B18" s="8"/>
      <c r="C18" s="8"/>
      <c r="D18" s="8"/>
      <c r="E18" s="8"/>
      <c r="F18" s="9"/>
      <c r="G18" s="7" t="s">
        <v>47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/>
      <c r="W18" s="10" t="s">
        <v>8</v>
      </c>
      <c r="X18" s="10"/>
      <c r="Y18" s="10"/>
      <c r="Z18" s="5" t="s">
        <v>41</v>
      </c>
      <c r="AA18" s="5"/>
      <c r="AB18" s="5">
        <v>13</v>
      </c>
      <c r="AC18" s="5"/>
      <c r="AD18" s="5">
        <v>3</v>
      </c>
      <c r="AE18" s="5"/>
      <c r="AF18" s="5" t="s">
        <v>98</v>
      </c>
      <c r="AG18" s="5"/>
    </row>
    <row r="19" spans="1:33" x14ac:dyDescent="0.3">
      <c r="A19" s="7" t="s">
        <v>48</v>
      </c>
      <c r="B19" s="8"/>
      <c r="C19" s="8"/>
      <c r="D19" s="8"/>
      <c r="E19" s="8"/>
      <c r="F19" s="9"/>
      <c r="G19" s="7" t="s">
        <v>49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/>
      <c r="W19" s="10" t="s">
        <v>8</v>
      </c>
      <c r="X19" s="10"/>
      <c r="Y19" s="10"/>
      <c r="Z19" s="5" t="s">
        <v>41</v>
      </c>
      <c r="AA19" s="5"/>
      <c r="AB19" s="5">
        <v>13</v>
      </c>
      <c r="AC19" s="5"/>
      <c r="AD19" s="5">
        <v>3</v>
      </c>
      <c r="AE19" s="5"/>
      <c r="AF19" s="5" t="s">
        <v>98</v>
      </c>
      <c r="AG19" s="5"/>
    </row>
    <row r="20" spans="1:33" x14ac:dyDescent="0.3">
      <c r="A20" s="7" t="s">
        <v>50</v>
      </c>
      <c r="B20" s="8"/>
      <c r="C20" s="8"/>
      <c r="D20" s="8"/>
      <c r="E20" s="8"/>
      <c r="F20" s="9"/>
      <c r="G20" s="7" t="s">
        <v>51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  <c r="W20" s="10" t="s">
        <v>8</v>
      </c>
      <c r="X20" s="10"/>
      <c r="Y20" s="10"/>
      <c r="Z20" s="5" t="s">
        <v>21</v>
      </c>
      <c r="AA20" s="5"/>
      <c r="AB20" s="5">
        <v>13</v>
      </c>
      <c r="AC20" s="5"/>
      <c r="AD20" s="5">
        <v>3</v>
      </c>
      <c r="AE20" s="5"/>
      <c r="AF20" s="5" t="s">
        <v>98</v>
      </c>
      <c r="AG20" s="5"/>
    </row>
    <row r="21" spans="1:33" x14ac:dyDescent="0.3">
      <c r="A21" s="7" t="s">
        <v>52</v>
      </c>
      <c r="B21" s="8"/>
      <c r="C21" s="8"/>
      <c r="D21" s="8"/>
      <c r="E21" s="8"/>
      <c r="F21" s="9"/>
      <c r="G21" s="7" t="s">
        <v>53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  <c r="W21" s="10" t="s">
        <v>8</v>
      </c>
      <c r="X21" s="10"/>
      <c r="Y21" s="10"/>
      <c r="Z21" s="5" t="s">
        <v>26</v>
      </c>
      <c r="AA21" s="5"/>
      <c r="AB21" s="5">
        <v>21</v>
      </c>
      <c r="AC21" s="5"/>
      <c r="AD21" s="5">
        <v>3</v>
      </c>
      <c r="AE21" s="5"/>
      <c r="AF21" s="5" t="s">
        <v>98</v>
      </c>
      <c r="AG21" s="5"/>
    </row>
    <row r="22" spans="1:33" x14ac:dyDescent="0.3">
      <c r="A22" s="7" t="s">
        <v>54</v>
      </c>
      <c r="B22" s="8"/>
      <c r="C22" s="8"/>
      <c r="D22" s="8"/>
      <c r="E22" s="8"/>
      <c r="F22" s="9"/>
      <c r="G22" s="7" t="s">
        <v>55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  <c r="W22" s="10" t="s">
        <v>8</v>
      </c>
      <c r="X22" s="10"/>
      <c r="Y22" s="10"/>
      <c r="Z22" s="5" t="s">
        <v>31</v>
      </c>
      <c r="AA22" s="5"/>
      <c r="AB22" s="5">
        <v>3</v>
      </c>
      <c r="AC22" s="5"/>
      <c r="AD22" s="5">
        <v>2</v>
      </c>
      <c r="AE22" s="5"/>
      <c r="AF22" s="5" t="s">
        <v>97</v>
      </c>
      <c r="AG22" s="5"/>
    </row>
    <row r="23" spans="1:33" x14ac:dyDescent="0.3">
      <c r="A23" s="7" t="s">
        <v>56</v>
      </c>
      <c r="B23" s="8"/>
      <c r="C23" s="8"/>
      <c r="D23" s="8"/>
      <c r="E23" s="8"/>
      <c r="F23" s="9"/>
      <c r="G23" s="7" t="s">
        <v>57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  <c r="W23" s="10" t="s">
        <v>8</v>
      </c>
      <c r="X23" s="10"/>
      <c r="Y23" s="10"/>
      <c r="Z23" s="5" t="s">
        <v>26</v>
      </c>
      <c r="AA23" s="5"/>
      <c r="AB23" s="5">
        <v>21</v>
      </c>
      <c r="AC23" s="5"/>
      <c r="AD23" s="5">
        <v>2</v>
      </c>
      <c r="AE23" s="5"/>
      <c r="AF23" s="5" t="s">
        <v>97</v>
      </c>
      <c r="AG23" s="5"/>
    </row>
    <row r="24" spans="1:33" x14ac:dyDescent="0.3">
      <c r="A24" s="7" t="s">
        <v>58</v>
      </c>
      <c r="B24" s="8"/>
      <c r="C24" s="8"/>
      <c r="D24" s="8"/>
      <c r="E24" s="8"/>
      <c r="F24" s="9"/>
      <c r="G24" s="7" t="s">
        <v>59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/>
      <c r="W24" s="10" t="s">
        <v>8</v>
      </c>
      <c r="X24" s="10"/>
      <c r="Y24" s="10"/>
      <c r="Z24" s="5" t="s">
        <v>26</v>
      </c>
      <c r="AA24" s="5"/>
      <c r="AB24" s="5">
        <v>21</v>
      </c>
      <c r="AC24" s="5"/>
      <c r="AD24" s="5">
        <v>2</v>
      </c>
      <c r="AE24" s="5"/>
      <c r="AF24" s="5" t="s">
        <v>97</v>
      </c>
      <c r="AG24" s="5"/>
    </row>
    <row r="25" spans="1:33" x14ac:dyDescent="0.3">
      <c r="A25" s="7" t="s">
        <v>60</v>
      </c>
      <c r="B25" s="8"/>
      <c r="C25" s="8"/>
      <c r="D25" s="8"/>
      <c r="E25" s="8"/>
      <c r="F25" s="9"/>
      <c r="G25" s="7" t="s">
        <v>61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  <c r="W25" s="10" t="s">
        <v>8</v>
      </c>
      <c r="X25" s="10"/>
      <c r="Y25" s="10"/>
      <c r="Z25" s="5" t="s">
        <v>9</v>
      </c>
      <c r="AA25" s="5"/>
      <c r="AB25" s="5">
        <v>8</v>
      </c>
      <c r="AC25" s="5"/>
      <c r="AD25" s="5">
        <v>2</v>
      </c>
      <c r="AE25" s="5"/>
      <c r="AF25" s="5" t="s">
        <v>97</v>
      </c>
      <c r="AG25" s="5"/>
    </row>
    <row r="26" spans="1:33" x14ac:dyDescent="0.3">
      <c r="A26" s="7" t="s">
        <v>62</v>
      </c>
      <c r="B26" s="8"/>
      <c r="C26" s="8"/>
      <c r="D26" s="8"/>
      <c r="E26" s="8"/>
      <c r="F26" s="9"/>
      <c r="G26" s="7" t="s">
        <v>63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  <c r="W26" s="20" t="s">
        <v>64</v>
      </c>
      <c r="X26" s="20"/>
      <c r="Y26" s="20"/>
      <c r="Z26" s="5" t="s">
        <v>21</v>
      </c>
      <c r="AA26" s="5"/>
      <c r="AB26" s="5">
        <v>13</v>
      </c>
      <c r="AC26" s="5"/>
      <c r="AD26" s="5">
        <v>3</v>
      </c>
      <c r="AE26" s="5"/>
      <c r="AF26" s="5" t="s">
        <v>98</v>
      </c>
      <c r="AG26" s="5"/>
    </row>
    <row r="27" spans="1:33" x14ac:dyDescent="0.3">
      <c r="A27" s="7" t="s">
        <v>65</v>
      </c>
      <c r="B27" s="8"/>
      <c r="C27" s="8"/>
      <c r="D27" s="8"/>
      <c r="E27" s="8"/>
      <c r="F27" s="9"/>
      <c r="G27" s="7" t="s">
        <v>66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/>
      <c r="W27" s="20" t="s">
        <v>64</v>
      </c>
      <c r="X27" s="20"/>
      <c r="Y27" s="20"/>
      <c r="Z27" s="5" t="s">
        <v>21</v>
      </c>
      <c r="AA27" s="5"/>
      <c r="AB27" s="5">
        <v>13</v>
      </c>
      <c r="AC27" s="5"/>
      <c r="AD27" s="5">
        <v>3</v>
      </c>
      <c r="AE27" s="5"/>
      <c r="AF27" s="5" t="s">
        <v>98</v>
      </c>
      <c r="AG27" s="5"/>
    </row>
    <row r="28" spans="1:33" x14ac:dyDescent="0.3">
      <c r="A28" s="7" t="s">
        <v>67</v>
      </c>
      <c r="B28" s="8"/>
      <c r="C28" s="8"/>
      <c r="D28" s="8"/>
      <c r="E28" s="8"/>
      <c r="F28" s="9"/>
      <c r="G28" s="7" t="s">
        <v>68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/>
      <c r="W28" s="19" t="s">
        <v>40</v>
      </c>
      <c r="X28" s="19"/>
      <c r="Y28" s="19"/>
      <c r="Z28" s="5" t="s">
        <v>9</v>
      </c>
      <c r="AA28" s="5"/>
      <c r="AB28" s="5">
        <v>8</v>
      </c>
      <c r="AC28" s="5"/>
      <c r="AD28" s="5">
        <v>1</v>
      </c>
      <c r="AE28" s="5"/>
      <c r="AF28" s="5" t="s">
        <v>97</v>
      </c>
      <c r="AG28" s="5"/>
    </row>
    <row r="29" spans="1:33" x14ac:dyDescent="0.3">
      <c r="A29" s="7" t="s">
        <v>69</v>
      </c>
      <c r="B29" s="8"/>
      <c r="C29" s="8"/>
      <c r="D29" s="8"/>
      <c r="E29" s="8"/>
      <c r="F29" s="9"/>
      <c r="G29" s="7" t="s">
        <v>70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  <c r="W29" s="19" t="s">
        <v>40</v>
      </c>
      <c r="X29" s="19"/>
      <c r="Y29" s="19"/>
      <c r="Z29" s="5" t="s">
        <v>12</v>
      </c>
      <c r="AA29" s="5"/>
      <c r="AB29" s="5">
        <v>5</v>
      </c>
      <c r="AC29" s="5"/>
      <c r="AD29" s="5">
        <v>3</v>
      </c>
      <c r="AE29" s="5"/>
      <c r="AF29" s="5" t="s">
        <v>98</v>
      </c>
      <c r="AG29" s="5"/>
    </row>
    <row r="30" spans="1:33" x14ac:dyDescent="0.3">
      <c r="A30" s="7" t="s">
        <v>71</v>
      </c>
      <c r="B30" s="8"/>
      <c r="C30" s="8"/>
      <c r="D30" s="8"/>
      <c r="E30" s="8"/>
      <c r="F30" s="9"/>
      <c r="G30" s="7" t="s">
        <v>72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  <c r="W30" s="20" t="s">
        <v>64</v>
      </c>
      <c r="X30" s="20"/>
      <c r="Y30" s="20"/>
      <c r="Z30" s="5" t="s">
        <v>12</v>
      </c>
      <c r="AA30" s="5"/>
      <c r="AB30" s="5">
        <v>5</v>
      </c>
      <c r="AC30" s="5"/>
      <c r="AD30" s="5">
        <v>2</v>
      </c>
      <c r="AE30" s="5"/>
      <c r="AF30" s="5" t="s">
        <v>97</v>
      </c>
      <c r="AG30" s="5"/>
    </row>
    <row r="31" spans="1:33" x14ac:dyDescent="0.3">
      <c r="A31" s="7" t="s">
        <v>73</v>
      </c>
      <c r="B31" s="8"/>
      <c r="C31" s="8"/>
      <c r="D31" s="8"/>
      <c r="E31" s="8"/>
      <c r="F31" s="9"/>
      <c r="G31" s="7" t="s">
        <v>74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/>
      <c r="W31" s="20" t="s">
        <v>64</v>
      </c>
      <c r="X31" s="20"/>
      <c r="Y31" s="20"/>
      <c r="Z31" s="5" t="s">
        <v>31</v>
      </c>
      <c r="AA31" s="5"/>
      <c r="AB31" s="5">
        <v>3</v>
      </c>
      <c r="AC31" s="5"/>
      <c r="AD31" s="5">
        <v>2</v>
      </c>
      <c r="AE31" s="5"/>
      <c r="AF31" s="5" t="s">
        <v>97</v>
      </c>
      <c r="AG31" s="5"/>
    </row>
    <row r="32" spans="1:33" x14ac:dyDescent="0.3">
      <c r="A32" s="7" t="s">
        <v>75</v>
      </c>
      <c r="B32" s="8"/>
      <c r="C32" s="8"/>
      <c r="D32" s="8"/>
      <c r="E32" s="8"/>
      <c r="F32" s="9"/>
      <c r="G32" s="7" t="s">
        <v>76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9"/>
      <c r="W32" s="20" t="s">
        <v>64</v>
      </c>
      <c r="X32" s="20"/>
      <c r="Y32" s="20"/>
      <c r="Z32" s="5" t="s">
        <v>9</v>
      </c>
      <c r="AA32" s="5"/>
      <c r="AB32" s="5">
        <v>8</v>
      </c>
      <c r="AC32" s="5"/>
      <c r="AD32" s="5">
        <v>3</v>
      </c>
      <c r="AE32" s="5"/>
      <c r="AF32" s="5" t="s">
        <v>98</v>
      </c>
      <c r="AG32" s="5"/>
    </row>
    <row r="33" spans="1:33" x14ac:dyDescent="0.3">
      <c r="A33" s="7" t="s">
        <v>77</v>
      </c>
      <c r="B33" s="8"/>
      <c r="C33" s="8"/>
      <c r="D33" s="8"/>
      <c r="E33" s="8"/>
      <c r="F33" s="9"/>
      <c r="G33" s="7" t="s">
        <v>78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9"/>
      <c r="W33" s="19" t="s">
        <v>40</v>
      </c>
      <c r="X33" s="19"/>
      <c r="Y33" s="19"/>
      <c r="Z33" s="5" t="s">
        <v>9</v>
      </c>
      <c r="AA33" s="5"/>
      <c r="AB33" s="5">
        <v>8</v>
      </c>
      <c r="AC33" s="5"/>
      <c r="AD33" s="5">
        <v>1</v>
      </c>
      <c r="AE33" s="5"/>
      <c r="AF33" s="5" t="s">
        <v>97</v>
      </c>
      <c r="AG33" s="5"/>
    </row>
    <row r="34" spans="1:33" x14ac:dyDescent="0.3">
      <c r="A34" s="7" t="s">
        <v>79</v>
      </c>
      <c r="B34" s="8"/>
      <c r="C34" s="8"/>
      <c r="D34" s="8"/>
      <c r="E34" s="8"/>
      <c r="F34" s="9"/>
      <c r="G34" s="7" t="s">
        <v>80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20" t="s">
        <v>64</v>
      </c>
      <c r="X34" s="20"/>
      <c r="Y34" s="20"/>
      <c r="Z34" s="5" t="s">
        <v>9</v>
      </c>
      <c r="AA34" s="5"/>
      <c r="AB34" s="5">
        <v>8</v>
      </c>
      <c r="AC34" s="5"/>
      <c r="AD34" s="5">
        <v>3</v>
      </c>
      <c r="AE34" s="5"/>
      <c r="AF34" s="5" t="s">
        <v>98</v>
      </c>
      <c r="AG34" s="5"/>
    </row>
    <row r="35" spans="1:33" x14ac:dyDescent="0.3">
      <c r="A35" s="7" t="s">
        <v>81</v>
      </c>
      <c r="B35" s="8"/>
      <c r="C35" s="8"/>
      <c r="D35" s="8"/>
      <c r="E35" s="8"/>
      <c r="F35" s="9"/>
      <c r="G35" s="7" t="s">
        <v>82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9"/>
      <c r="W35" s="20" t="s">
        <v>64</v>
      </c>
      <c r="X35" s="20"/>
      <c r="Y35" s="20"/>
      <c r="Z35" s="5" t="s">
        <v>9</v>
      </c>
      <c r="AA35" s="5"/>
      <c r="AB35" s="5">
        <v>8</v>
      </c>
      <c r="AC35" s="5"/>
      <c r="AD35" s="5">
        <v>3</v>
      </c>
      <c r="AE35" s="5"/>
      <c r="AF35" s="5" t="s">
        <v>98</v>
      </c>
      <c r="AG35" s="5"/>
    </row>
    <row r="36" spans="1:33" x14ac:dyDescent="0.3">
      <c r="A36" s="7" t="s">
        <v>83</v>
      </c>
      <c r="B36" s="8"/>
      <c r="C36" s="8"/>
      <c r="D36" s="8"/>
      <c r="E36" s="8"/>
      <c r="F36" s="9"/>
      <c r="G36" s="7" t="s">
        <v>84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9"/>
      <c r="W36" s="10" t="s">
        <v>8</v>
      </c>
      <c r="X36" s="10"/>
      <c r="Y36" s="10"/>
      <c r="Z36" s="5" t="s">
        <v>26</v>
      </c>
      <c r="AA36" s="5"/>
      <c r="AB36" s="5">
        <v>21</v>
      </c>
      <c r="AC36" s="5"/>
      <c r="AD36" s="5">
        <v>3</v>
      </c>
      <c r="AE36" s="5"/>
      <c r="AF36" s="5" t="s">
        <v>98</v>
      </c>
      <c r="AG36" s="5"/>
    </row>
    <row r="37" spans="1:33" x14ac:dyDescent="0.3">
      <c r="A37" s="7" t="s">
        <v>85</v>
      </c>
      <c r="B37" s="8"/>
      <c r="C37" s="8"/>
      <c r="D37" s="8"/>
      <c r="E37" s="8"/>
      <c r="F37" s="9"/>
      <c r="G37" s="7" t="s">
        <v>86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9"/>
      <c r="W37" s="19" t="s">
        <v>40</v>
      </c>
      <c r="X37" s="19"/>
      <c r="Y37" s="19"/>
      <c r="Z37" s="5" t="s">
        <v>9</v>
      </c>
      <c r="AA37" s="5"/>
      <c r="AB37" s="5">
        <v>8</v>
      </c>
      <c r="AC37" s="5"/>
      <c r="AD37" s="5">
        <v>2</v>
      </c>
      <c r="AE37" s="5"/>
      <c r="AF37" s="5" t="s">
        <v>97</v>
      </c>
      <c r="AG37" s="5"/>
    </row>
    <row r="38" spans="1:33" x14ac:dyDescent="0.3">
      <c r="A38" s="7" t="s">
        <v>87</v>
      </c>
      <c r="B38" s="8"/>
      <c r="C38" s="8"/>
      <c r="D38" s="8"/>
      <c r="E38" s="8"/>
      <c r="F38" s="9"/>
      <c r="G38" s="7" t="s">
        <v>88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9"/>
      <c r="W38" s="19" t="s">
        <v>40</v>
      </c>
      <c r="X38" s="19"/>
      <c r="Y38" s="19"/>
      <c r="Z38" s="5" t="s">
        <v>21</v>
      </c>
      <c r="AA38" s="5"/>
      <c r="AB38" s="5">
        <v>13</v>
      </c>
      <c r="AC38" s="5"/>
      <c r="AD38" s="5">
        <v>1</v>
      </c>
      <c r="AE38" s="5"/>
      <c r="AF38" s="5" t="s">
        <v>97</v>
      </c>
      <c r="AG38" s="5"/>
    </row>
    <row r="39" spans="1:33" x14ac:dyDescent="0.3">
      <c r="A39" s="7" t="s">
        <v>100</v>
      </c>
      <c r="B39" s="8"/>
      <c r="C39" s="8"/>
      <c r="D39" s="8"/>
      <c r="E39" s="8"/>
      <c r="F39" s="9"/>
      <c r="G39" s="7" t="s">
        <v>104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9"/>
      <c r="W39" s="10" t="s">
        <v>8</v>
      </c>
      <c r="X39" s="10"/>
      <c r="Y39" s="10"/>
      <c r="Z39" s="5" t="s">
        <v>21</v>
      </c>
      <c r="AA39" s="5"/>
      <c r="AB39" s="5">
        <v>13</v>
      </c>
      <c r="AC39" s="5"/>
      <c r="AD39" s="5">
        <v>3</v>
      </c>
      <c r="AE39" s="5"/>
      <c r="AF39" s="5" t="s">
        <v>98</v>
      </c>
      <c r="AG39" s="5"/>
    </row>
    <row r="40" spans="1:33" ht="15.6" customHeight="1" x14ac:dyDescent="0.3">
      <c r="A40" s="7" t="s">
        <v>101</v>
      </c>
      <c r="B40" s="8"/>
      <c r="C40" s="8"/>
      <c r="D40" s="8"/>
      <c r="E40" s="8"/>
      <c r="F40" s="9"/>
      <c r="G40" s="7" t="s">
        <v>105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9"/>
      <c r="W40" s="10" t="s">
        <v>8</v>
      </c>
      <c r="X40" s="10"/>
      <c r="Y40" s="10"/>
      <c r="Z40" s="5" t="s">
        <v>9</v>
      </c>
      <c r="AA40" s="5"/>
      <c r="AB40" s="7">
        <v>8</v>
      </c>
      <c r="AC40" s="9"/>
      <c r="AD40" s="5">
        <v>3</v>
      </c>
      <c r="AE40" s="5"/>
      <c r="AF40" s="5" t="s">
        <v>98</v>
      </c>
      <c r="AG40" s="5"/>
    </row>
    <row r="41" spans="1:33" x14ac:dyDescent="0.3">
      <c r="A41" s="7" t="s">
        <v>108</v>
      </c>
      <c r="B41" s="8"/>
      <c r="C41" s="8"/>
      <c r="D41" s="8"/>
      <c r="E41" s="8"/>
      <c r="F41" s="9"/>
      <c r="G41" s="7" t="s">
        <v>111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9"/>
      <c r="W41" s="10" t="s">
        <v>8</v>
      </c>
      <c r="X41" s="10"/>
      <c r="Y41" s="10"/>
      <c r="Z41" s="5" t="s">
        <v>9</v>
      </c>
      <c r="AA41" s="5"/>
      <c r="AB41" s="5">
        <v>8</v>
      </c>
      <c r="AC41" s="5"/>
      <c r="AD41" s="7">
        <v>3</v>
      </c>
      <c r="AE41" s="9"/>
      <c r="AF41" s="5" t="s">
        <v>98</v>
      </c>
      <c r="AG41" s="5"/>
    </row>
    <row r="42" spans="1:33" x14ac:dyDescent="0.3">
      <c r="A42" s="7" t="s">
        <v>102</v>
      </c>
      <c r="B42" s="8"/>
      <c r="C42" s="8"/>
      <c r="D42" s="8"/>
      <c r="E42" s="8"/>
      <c r="F42" s="9"/>
      <c r="G42" s="7" t="s">
        <v>106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/>
      <c r="W42" s="10" t="s">
        <v>8</v>
      </c>
      <c r="X42" s="10"/>
      <c r="Y42" s="10"/>
      <c r="Z42" s="5" t="s">
        <v>21</v>
      </c>
      <c r="AA42" s="5"/>
      <c r="AB42" s="5">
        <v>13</v>
      </c>
      <c r="AC42" s="5"/>
      <c r="AD42" s="7">
        <v>3</v>
      </c>
      <c r="AE42" s="9"/>
      <c r="AF42" s="5" t="s">
        <v>98</v>
      </c>
      <c r="AG42" s="5"/>
    </row>
    <row r="43" spans="1:33" ht="15" customHeight="1" x14ac:dyDescent="0.3">
      <c r="A43" s="7" t="s">
        <v>103</v>
      </c>
      <c r="B43" s="8"/>
      <c r="C43" s="8"/>
      <c r="D43" s="8"/>
      <c r="E43" s="8"/>
      <c r="F43" s="9"/>
      <c r="G43" s="7" t="s">
        <v>107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9"/>
      <c r="W43" s="10" t="s">
        <v>8</v>
      </c>
      <c r="X43" s="10"/>
      <c r="Y43" s="10"/>
      <c r="Z43" s="5" t="s">
        <v>12</v>
      </c>
      <c r="AA43" s="5"/>
      <c r="AB43" s="5">
        <v>5</v>
      </c>
      <c r="AC43" s="5"/>
      <c r="AD43" s="7">
        <v>3</v>
      </c>
      <c r="AE43" s="9"/>
      <c r="AF43" s="5" t="s">
        <v>98</v>
      </c>
      <c r="AG43" s="5"/>
    </row>
    <row r="44" spans="1:33" ht="15" customHeight="1" x14ac:dyDescent="0.3">
      <c r="A44" s="7" t="s">
        <v>109</v>
      </c>
      <c r="B44" s="8"/>
      <c r="C44" s="8"/>
      <c r="D44" s="8"/>
      <c r="E44" s="8"/>
      <c r="F44" s="9"/>
      <c r="G44" s="7" t="s">
        <v>110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/>
      <c r="W44" s="10" t="s">
        <v>8</v>
      </c>
      <c r="X44" s="10"/>
      <c r="Y44" s="10"/>
      <c r="Z44" s="5" t="s">
        <v>26</v>
      </c>
      <c r="AA44" s="5"/>
      <c r="AB44" s="5">
        <v>21</v>
      </c>
      <c r="AC44" s="5"/>
      <c r="AD44" s="7">
        <v>3</v>
      </c>
      <c r="AE44" s="9"/>
      <c r="AF44" s="5" t="s">
        <v>98</v>
      </c>
      <c r="AG44" s="5"/>
    </row>
    <row r="45" spans="1:33" ht="15" customHeight="1" x14ac:dyDescent="0.3">
      <c r="A45" s="7"/>
      <c r="B45" s="8"/>
      <c r="C45" s="8"/>
      <c r="D45" s="8"/>
      <c r="E45" s="8"/>
      <c r="F45" s="9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9"/>
      <c r="W45" s="10"/>
      <c r="X45" s="10"/>
      <c r="Y45" s="10"/>
      <c r="Z45" s="5"/>
      <c r="AA45" s="5"/>
      <c r="AB45" s="5"/>
      <c r="AC45" s="5"/>
      <c r="AD45" s="7"/>
      <c r="AE45" s="9"/>
      <c r="AF45" s="5"/>
      <c r="AG45" s="5"/>
    </row>
    <row r="47" spans="1:33" ht="15.6" x14ac:dyDescent="0.3">
      <c r="B47" s="2" t="s">
        <v>89</v>
      </c>
      <c r="C47" s="16" t="s">
        <v>90</v>
      </c>
      <c r="D47" s="16"/>
      <c r="E47" s="17" t="s">
        <v>91</v>
      </c>
      <c r="F47" s="17"/>
      <c r="G47" s="18" t="s">
        <v>92</v>
      </c>
      <c r="H47" s="18"/>
      <c r="I47" s="4" t="s">
        <v>99</v>
      </c>
      <c r="J47" s="4"/>
    </row>
    <row r="48" spans="1:33" ht="15.6" x14ac:dyDescent="0.3">
      <c r="B48" s="1" t="s">
        <v>94</v>
      </c>
      <c r="C48" s="12">
        <v>475</v>
      </c>
      <c r="D48" s="13"/>
      <c r="E48" s="14">
        <f>SUM(AB12:AC38)</f>
        <v>307</v>
      </c>
      <c r="F48" s="14"/>
      <c r="G48" s="15">
        <v>0</v>
      </c>
      <c r="H48" s="15"/>
      <c r="I48" s="22">
        <v>307</v>
      </c>
      <c r="J48" s="23"/>
    </row>
    <row r="49" spans="2:10" ht="15.6" x14ac:dyDescent="0.3">
      <c r="B49" s="1" t="s">
        <v>95</v>
      </c>
      <c r="C49" s="12">
        <v>149</v>
      </c>
      <c r="D49" s="13"/>
      <c r="E49" s="14">
        <f>SUM(AB2:AC37)</f>
        <v>394</v>
      </c>
      <c r="F49" s="14"/>
      <c r="G49" s="15">
        <v>0</v>
      </c>
      <c r="H49" s="21"/>
      <c r="I49" s="22">
        <f>94-7</f>
        <v>87</v>
      </c>
      <c r="J49" s="23"/>
    </row>
    <row r="50" spans="2:10" ht="15.6" x14ac:dyDescent="0.3">
      <c r="B50" s="1" t="s">
        <v>96</v>
      </c>
      <c r="C50" s="12">
        <v>0</v>
      </c>
      <c r="D50" s="13"/>
      <c r="E50" s="14">
        <f>SUM(AB15:AC44)</f>
        <v>328</v>
      </c>
      <c r="F50" s="14"/>
      <c r="G50" s="15">
        <v>149</v>
      </c>
      <c r="H50" s="15"/>
      <c r="I50" s="22">
        <f>394-328</f>
        <v>66</v>
      </c>
      <c r="J50" s="23"/>
    </row>
    <row r="51" spans="2:10" ht="15.6" x14ac:dyDescent="0.3">
      <c r="B51" s="1" t="s">
        <v>93</v>
      </c>
      <c r="C51" s="3">
        <f>SUM(AB2:AC44)</f>
        <v>475</v>
      </c>
      <c r="D51" s="3"/>
      <c r="E51" s="3"/>
      <c r="F51" s="3"/>
      <c r="G51" s="3"/>
      <c r="H51" s="3"/>
      <c r="I51" s="3"/>
      <c r="J51" s="3"/>
    </row>
    <row r="52" spans="2:10" ht="15" customHeight="1" x14ac:dyDescent="0.3"/>
    <row r="53" spans="2:10" ht="15" customHeight="1" x14ac:dyDescent="0.3"/>
    <row r="54" spans="2:10" ht="15" customHeight="1" x14ac:dyDescent="0.3"/>
  </sheetData>
  <autoFilter ref="A1:AG44" xr:uid="{BC402853-6496-4AB0-A4DF-4B5CCD4A1E2C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5" showButton="0"/>
    <filterColumn colId="27" showButton="0"/>
    <filterColumn colId="29" showButton="0"/>
    <filterColumn colId="31" showButton="0"/>
  </autoFilter>
  <mergeCells count="332">
    <mergeCell ref="A45:F45"/>
    <mergeCell ref="G45:V45"/>
    <mergeCell ref="W45:Y45"/>
    <mergeCell ref="Z45:AA45"/>
    <mergeCell ref="AB45:AC45"/>
    <mergeCell ref="AF45:AG45"/>
    <mergeCell ref="AB40:AC40"/>
    <mergeCell ref="AD45:AE45"/>
    <mergeCell ref="AD44:AE44"/>
    <mergeCell ref="AF42:AG42"/>
    <mergeCell ref="W43:Y43"/>
    <mergeCell ref="Z43:AA43"/>
    <mergeCell ref="AB43:AC43"/>
    <mergeCell ref="AD43:AE43"/>
    <mergeCell ref="AF43:AG43"/>
    <mergeCell ref="A44:F44"/>
    <mergeCell ref="G44:V44"/>
    <mergeCell ref="W44:Y44"/>
    <mergeCell ref="Z44:AA44"/>
    <mergeCell ref="AB44:AC44"/>
    <mergeCell ref="AF44:AG44"/>
    <mergeCell ref="AF39:AG39"/>
    <mergeCell ref="W40:Y40"/>
    <mergeCell ref="Z40:AA40"/>
    <mergeCell ref="AB41:AC41"/>
    <mergeCell ref="AD40:AE40"/>
    <mergeCell ref="AF40:AG40"/>
    <mergeCell ref="W41:Y41"/>
    <mergeCell ref="Z41:AA41"/>
    <mergeCell ref="AD41:AE41"/>
    <mergeCell ref="AF41:AG41"/>
    <mergeCell ref="G39:V39"/>
    <mergeCell ref="G40:V40"/>
    <mergeCell ref="G41:V41"/>
    <mergeCell ref="G42:V42"/>
    <mergeCell ref="G43:V43"/>
    <mergeCell ref="W39:Y39"/>
    <mergeCell ref="Z39:AA39"/>
    <mergeCell ref="AB39:AC39"/>
    <mergeCell ref="AD39:AE39"/>
    <mergeCell ref="W42:Y42"/>
    <mergeCell ref="Z42:AA42"/>
    <mergeCell ref="AB42:AC42"/>
    <mergeCell ref="AD42:AE42"/>
    <mergeCell ref="AD6:AE6"/>
    <mergeCell ref="A5:F5"/>
    <mergeCell ref="G5:V5"/>
    <mergeCell ref="W5:Y5"/>
    <mergeCell ref="Z5:AA5"/>
    <mergeCell ref="AB5:AC5"/>
    <mergeCell ref="AD3:AE3"/>
    <mergeCell ref="A4:F4"/>
    <mergeCell ref="G4:V4"/>
    <mergeCell ref="W4:Y4"/>
    <mergeCell ref="Z4:AA4"/>
    <mergeCell ref="AB4:AC4"/>
    <mergeCell ref="AD4:AE4"/>
    <mergeCell ref="A3:F3"/>
    <mergeCell ref="G3:V3"/>
    <mergeCell ref="W3:Y3"/>
    <mergeCell ref="Z3:AA3"/>
    <mergeCell ref="AB3:AC3"/>
    <mergeCell ref="AD7:AE7"/>
    <mergeCell ref="A8:F8"/>
    <mergeCell ref="G8:V8"/>
    <mergeCell ref="W8:Y8"/>
    <mergeCell ref="Z8:AA8"/>
    <mergeCell ref="AB8:AC8"/>
    <mergeCell ref="AD8:AE8"/>
    <mergeCell ref="A7:F7"/>
    <mergeCell ref="G7:V7"/>
    <mergeCell ref="W7:Y7"/>
    <mergeCell ref="Z7:AA7"/>
    <mergeCell ref="AB7:AC7"/>
    <mergeCell ref="AD9:AE9"/>
    <mergeCell ref="A10:F10"/>
    <mergeCell ref="G10:V10"/>
    <mergeCell ref="W10:Y10"/>
    <mergeCell ref="Z10:AA10"/>
    <mergeCell ref="AB10:AC10"/>
    <mergeCell ref="AD10:AE10"/>
    <mergeCell ref="A9:F9"/>
    <mergeCell ref="G9:V9"/>
    <mergeCell ref="W9:Y9"/>
    <mergeCell ref="Z9:AA9"/>
    <mergeCell ref="AB9:AC9"/>
    <mergeCell ref="AD11:AE11"/>
    <mergeCell ref="A12:F12"/>
    <mergeCell ref="G12:V12"/>
    <mergeCell ref="W12:Y12"/>
    <mergeCell ref="Z12:AA12"/>
    <mergeCell ref="AB12:AC12"/>
    <mergeCell ref="AD12:AE12"/>
    <mergeCell ref="A11:F11"/>
    <mergeCell ref="G11:V11"/>
    <mergeCell ref="W11:Y11"/>
    <mergeCell ref="Z11:AA11"/>
    <mergeCell ref="AB11:AC11"/>
    <mergeCell ref="AD13:AE13"/>
    <mergeCell ref="A14:F14"/>
    <mergeCell ref="G14:V14"/>
    <mergeCell ref="W14:Y14"/>
    <mergeCell ref="Z14:AA14"/>
    <mergeCell ref="AB14:AC14"/>
    <mergeCell ref="AD14:AE14"/>
    <mergeCell ref="A13:F13"/>
    <mergeCell ref="G13:V13"/>
    <mergeCell ref="W13:Y13"/>
    <mergeCell ref="Z13:AA13"/>
    <mergeCell ref="AB13:AC13"/>
    <mergeCell ref="AD15:AE15"/>
    <mergeCell ref="A16:F16"/>
    <mergeCell ref="G16:V16"/>
    <mergeCell ref="W16:Y16"/>
    <mergeCell ref="Z16:AA16"/>
    <mergeCell ref="AB16:AC16"/>
    <mergeCell ref="AD16:AE16"/>
    <mergeCell ref="A15:F15"/>
    <mergeCell ref="G15:V15"/>
    <mergeCell ref="W15:Y15"/>
    <mergeCell ref="Z15:AA15"/>
    <mergeCell ref="AB15:AC15"/>
    <mergeCell ref="A19:F19"/>
    <mergeCell ref="G19:V19"/>
    <mergeCell ref="W19:Y19"/>
    <mergeCell ref="Z19:AA19"/>
    <mergeCell ref="AB19:AC19"/>
    <mergeCell ref="AD19:AE19"/>
    <mergeCell ref="AD17:AE17"/>
    <mergeCell ref="A18:F18"/>
    <mergeCell ref="G18:V18"/>
    <mergeCell ref="W18:Y18"/>
    <mergeCell ref="Z18:AA18"/>
    <mergeCell ref="AB18:AC18"/>
    <mergeCell ref="AD18:AE18"/>
    <mergeCell ref="A17:F17"/>
    <mergeCell ref="G17:V17"/>
    <mergeCell ref="W17:Y17"/>
    <mergeCell ref="Z17:AA17"/>
    <mergeCell ref="AB17:AC17"/>
    <mergeCell ref="AD20:AE20"/>
    <mergeCell ref="A21:F21"/>
    <mergeCell ref="G21:V21"/>
    <mergeCell ref="W21:Y21"/>
    <mergeCell ref="Z21:AA21"/>
    <mergeCell ref="AB21:AC21"/>
    <mergeCell ref="AD21:AE21"/>
    <mergeCell ref="A20:F20"/>
    <mergeCell ref="G20:V20"/>
    <mergeCell ref="W20:Y20"/>
    <mergeCell ref="Z20:AA20"/>
    <mergeCell ref="AB20:AC20"/>
    <mergeCell ref="AD22:AE22"/>
    <mergeCell ref="A23:F23"/>
    <mergeCell ref="G23:V23"/>
    <mergeCell ref="W23:Y23"/>
    <mergeCell ref="Z23:AA23"/>
    <mergeCell ref="AB23:AC23"/>
    <mergeCell ref="AD23:AE23"/>
    <mergeCell ref="A22:F22"/>
    <mergeCell ref="G22:V22"/>
    <mergeCell ref="W22:Y22"/>
    <mergeCell ref="Z22:AA22"/>
    <mergeCell ref="AB22:AC22"/>
    <mergeCell ref="AD24:AE24"/>
    <mergeCell ref="A25:F25"/>
    <mergeCell ref="G25:V25"/>
    <mergeCell ref="W25:Y25"/>
    <mergeCell ref="Z25:AA25"/>
    <mergeCell ref="AB25:AC25"/>
    <mergeCell ref="AD25:AE25"/>
    <mergeCell ref="A24:F24"/>
    <mergeCell ref="G24:V24"/>
    <mergeCell ref="W24:Y24"/>
    <mergeCell ref="Z24:AA24"/>
    <mergeCell ref="AB24:AC24"/>
    <mergeCell ref="AD26:AE26"/>
    <mergeCell ref="A27:F27"/>
    <mergeCell ref="G27:V27"/>
    <mergeCell ref="W27:Y27"/>
    <mergeCell ref="Z27:AA27"/>
    <mergeCell ref="AB27:AC27"/>
    <mergeCell ref="AD27:AE27"/>
    <mergeCell ref="A26:F26"/>
    <mergeCell ref="G26:V26"/>
    <mergeCell ref="W26:Y26"/>
    <mergeCell ref="Z26:AA26"/>
    <mergeCell ref="AB26:AC26"/>
    <mergeCell ref="AD28:AE28"/>
    <mergeCell ref="A29:F29"/>
    <mergeCell ref="G29:V29"/>
    <mergeCell ref="W29:Y29"/>
    <mergeCell ref="Z29:AA29"/>
    <mergeCell ref="AB29:AC29"/>
    <mergeCell ref="AD29:AE29"/>
    <mergeCell ref="A28:F28"/>
    <mergeCell ref="G28:V28"/>
    <mergeCell ref="W28:Y28"/>
    <mergeCell ref="Z28:AA28"/>
    <mergeCell ref="AB28:AC28"/>
    <mergeCell ref="AD30:AE30"/>
    <mergeCell ref="A31:F31"/>
    <mergeCell ref="G31:V31"/>
    <mergeCell ref="W31:Y31"/>
    <mergeCell ref="Z31:AA31"/>
    <mergeCell ref="AB31:AC31"/>
    <mergeCell ref="AD31:AE31"/>
    <mergeCell ref="A30:F30"/>
    <mergeCell ref="G30:V30"/>
    <mergeCell ref="W30:Y30"/>
    <mergeCell ref="Z30:AA30"/>
    <mergeCell ref="AB30:AC30"/>
    <mergeCell ref="AD32:AE32"/>
    <mergeCell ref="A33:F33"/>
    <mergeCell ref="G33:V33"/>
    <mergeCell ref="W33:Y33"/>
    <mergeCell ref="Z33:AA33"/>
    <mergeCell ref="AB33:AC33"/>
    <mergeCell ref="AD33:AE33"/>
    <mergeCell ref="A32:F32"/>
    <mergeCell ref="G32:V32"/>
    <mergeCell ref="W32:Y32"/>
    <mergeCell ref="Z32:AA32"/>
    <mergeCell ref="AB32:AC32"/>
    <mergeCell ref="AD34:AE34"/>
    <mergeCell ref="A35:F35"/>
    <mergeCell ref="G35:V35"/>
    <mergeCell ref="W35:Y35"/>
    <mergeCell ref="Z35:AA35"/>
    <mergeCell ref="AB35:AC35"/>
    <mergeCell ref="AD35:AE35"/>
    <mergeCell ref="A34:F34"/>
    <mergeCell ref="G34:V34"/>
    <mergeCell ref="W34:Y34"/>
    <mergeCell ref="Z34:AA34"/>
    <mergeCell ref="AB34:AC34"/>
    <mergeCell ref="G47:H47"/>
    <mergeCell ref="AD38:AE38"/>
    <mergeCell ref="A38:F38"/>
    <mergeCell ref="G38:V38"/>
    <mergeCell ref="W38:Y38"/>
    <mergeCell ref="Z38:AA38"/>
    <mergeCell ref="AB38:AC38"/>
    <mergeCell ref="AD36:AE36"/>
    <mergeCell ref="A37:F37"/>
    <mergeCell ref="G37:V37"/>
    <mergeCell ref="W37:Y37"/>
    <mergeCell ref="Z37:AA37"/>
    <mergeCell ref="AB37:AC37"/>
    <mergeCell ref="AD37:AE37"/>
    <mergeCell ref="A36:F36"/>
    <mergeCell ref="G36:V36"/>
    <mergeCell ref="W36:Y36"/>
    <mergeCell ref="Z36:AA36"/>
    <mergeCell ref="AB36:AC36"/>
    <mergeCell ref="A39:F39"/>
    <mergeCell ref="A40:F40"/>
    <mergeCell ref="A41:F41"/>
    <mergeCell ref="A42:F42"/>
    <mergeCell ref="A43:F43"/>
    <mergeCell ref="AF1:AG1"/>
    <mergeCell ref="AF2:AG2"/>
    <mergeCell ref="AF3:AG3"/>
    <mergeCell ref="AF4:AG4"/>
    <mergeCell ref="AF5:AG5"/>
    <mergeCell ref="AF6:AG6"/>
    <mergeCell ref="A2:F2"/>
    <mergeCell ref="G2:V2"/>
    <mergeCell ref="W2:Y2"/>
    <mergeCell ref="Z2:AA2"/>
    <mergeCell ref="AB2:AC2"/>
    <mergeCell ref="AD2:AE2"/>
    <mergeCell ref="A1:F1"/>
    <mergeCell ref="G1:V1"/>
    <mergeCell ref="W1:Y1"/>
    <mergeCell ref="Z1:AA1"/>
    <mergeCell ref="AB1:AC1"/>
    <mergeCell ref="AD1:AE1"/>
    <mergeCell ref="AD5:AE5"/>
    <mergeCell ref="A6:F6"/>
    <mergeCell ref="G6:V6"/>
    <mergeCell ref="W6:Y6"/>
    <mergeCell ref="Z6:AA6"/>
    <mergeCell ref="AB6:AC6"/>
    <mergeCell ref="AF13:AG13"/>
    <mergeCell ref="AF14:AG14"/>
    <mergeCell ref="AF15:AG15"/>
    <mergeCell ref="AF16:AG16"/>
    <mergeCell ref="AF17:AG17"/>
    <mergeCell ref="AF18:AG18"/>
    <mergeCell ref="AF7:AG7"/>
    <mergeCell ref="AF8:AG8"/>
    <mergeCell ref="AF9:AG9"/>
    <mergeCell ref="AF10:AG10"/>
    <mergeCell ref="AF11:AG11"/>
    <mergeCell ref="AF12:AG12"/>
    <mergeCell ref="AF25:AG25"/>
    <mergeCell ref="AF26:AG26"/>
    <mergeCell ref="AF27:AG27"/>
    <mergeCell ref="AF28:AG28"/>
    <mergeCell ref="AF29:AG29"/>
    <mergeCell ref="AF30:AG30"/>
    <mergeCell ref="AF19:AG19"/>
    <mergeCell ref="AF20:AG20"/>
    <mergeCell ref="AF21:AG21"/>
    <mergeCell ref="AF22:AG22"/>
    <mergeCell ref="AF23:AG23"/>
    <mergeCell ref="AF24:AG24"/>
    <mergeCell ref="C51:J51"/>
    <mergeCell ref="I47:J47"/>
    <mergeCell ref="I48:J48"/>
    <mergeCell ref="I49:J49"/>
    <mergeCell ref="I50:J50"/>
    <mergeCell ref="AF37:AG37"/>
    <mergeCell ref="AF38:AG38"/>
    <mergeCell ref="AF31:AG31"/>
    <mergeCell ref="AF32:AG32"/>
    <mergeCell ref="AF33:AG33"/>
    <mergeCell ref="AF34:AG34"/>
    <mergeCell ref="AF35:AG35"/>
    <mergeCell ref="AF36:AG36"/>
    <mergeCell ref="C49:D49"/>
    <mergeCell ref="E49:F49"/>
    <mergeCell ref="G49:H49"/>
    <mergeCell ref="C50:D50"/>
    <mergeCell ref="E50:F50"/>
    <mergeCell ref="G50:H50"/>
    <mergeCell ref="C48:D48"/>
    <mergeCell ref="E48:F48"/>
    <mergeCell ref="G48:H48"/>
    <mergeCell ref="C47:D47"/>
    <mergeCell ref="E47:F47"/>
  </mergeCells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&amp; 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NATTALIA SIQUEIRA DIAS .</cp:lastModifiedBy>
  <dcterms:created xsi:type="dcterms:W3CDTF">2025-10-01T17:21:31Z</dcterms:created>
  <dcterms:modified xsi:type="dcterms:W3CDTF">2025-11-13T16:35:31Z</dcterms:modified>
</cp:coreProperties>
</file>